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cheda 1" sheetId="1" r:id="rId4"/>
    <sheet name="Calcolo massimali" sheetId="2" r:id="rId5"/>
    <sheet name="Lista condomini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<sst xmlns="http://schemas.openxmlformats.org/spreadsheetml/2006/main" uniqueCount="94">
  <si>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TABELLA RIEPILOGATIVA</t>
  </si>
  <si>
    <t>SOGGETTO/I RICHIEDENTE/I</t>
  </si>
  <si>
    <t xml:space="preserve"> </t>
  </si>
  <si>
    <t xml:space="preserve">   </t>
  </si>
  <si>
    <t>INQUADRAMENTO INTERVENTI</t>
  </si>
  <si>
    <t>==&gt;</t>
  </si>
  <si>
    <t>Condominio</t>
  </si>
  <si>
    <t>N. Unità</t>
  </si>
  <si>
    <t>Colonnine</t>
  </si>
  <si>
    <t>Massimale di spesa IVA inclusa</t>
  </si>
  <si>
    <t>PROGETTO</t>
  </si>
  <si>
    <t>Lavori</t>
  </si>
  <si>
    <t>Progettazione</t>
  </si>
  <si>
    <t>Prime Hub</t>
  </si>
  <si>
    <t>Asseverazione</t>
  </si>
  <si>
    <t>IVA 10%</t>
  </si>
  <si>
    <t>IVA 22%</t>
  </si>
  <si>
    <t>Sommano</t>
  </si>
  <si>
    <t>Trainanti</t>
  </si>
  <si>
    <t>Isolamento</t>
  </si>
  <si>
    <t>Sostituzione Impianti</t>
  </si>
  <si>
    <t>Parti Comuni</t>
  </si>
  <si>
    <t>Serramenti</t>
  </si>
  <si>
    <t>Fotovoltaico</t>
  </si>
  <si>
    <t>Sist. Accumulo</t>
  </si>
  <si>
    <t>Infr. ricarica</t>
  </si>
  <si>
    <t>Fabio Serembe</t>
  </si>
  <si>
    <t>Schermature</t>
  </si>
  <si>
    <t>BACS</t>
  </si>
  <si>
    <t>Mario Rossi</t>
  </si>
  <si>
    <t>Somme</t>
  </si>
  <si>
    <t>Cessione</t>
  </si>
  <si>
    <t>Prezzo d'acquisto 101</t>
  </si>
  <si>
    <t>Guadagno o Perdita</t>
  </si>
  <si>
    <t>TOT. COSTI NOI</t>
  </si>
  <si>
    <t>TOT. CMP</t>
  </si>
  <si>
    <t>UTILE</t>
  </si>
  <si>
    <t>MARGINE %</t>
  </si>
  <si>
    <t>PRATICA 1</t>
  </si>
  <si>
    <t>TOTALE TRAINATI E COMUNI</t>
  </si>
  <si>
    <t>Elettricista (building automation)</t>
  </si>
  <si>
    <t>Infr. Ricarica</t>
  </si>
  <si>
    <t>Lattoneria (edile)</t>
  </si>
  <si>
    <t>Sostituzione impianti</t>
  </si>
  <si>
    <t>Riscaldamento</t>
  </si>
  <si>
    <t>Progetto</t>
  </si>
  <si>
    <t>Asseverazione Tecnica</t>
  </si>
  <si>
    <t>Asseverazione Fiscale</t>
  </si>
  <si>
    <t>Polizze 2% tutto tranne IVA</t>
  </si>
  <si>
    <t>Fascicolazione 3.5</t>
  </si>
  <si>
    <t>Supporto alla progettazione</t>
  </si>
  <si>
    <t>Costi aggiuntivi Cantiere</t>
  </si>
  <si>
    <t>Banca acquisizione crediti</t>
  </si>
  <si>
    <t>Sommano complessivi</t>
  </si>
  <si>
    <t>TRAINANTI</t>
  </si>
  <si>
    <t>Singola</t>
  </si>
  <si>
    <t>Da 2 a 8</t>
  </si>
  <si>
    <t>Da 8+</t>
  </si>
  <si>
    <t>Involucro &gt; 25%</t>
  </si>
  <si>
    <t>Riscaldamento Centralizzato</t>
  </si>
  <si>
    <t>Riscaldamento Autonomo</t>
  </si>
  <si>
    <t>Sismica</t>
  </si>
  <si>
    <t>TRAINATI</t>
  </si>
  <si>
    <t>Coibentazione involucro (compresi serramenti)</t>
  </si>
  <si>
    <t>Sostituzione impianto riscaldamento autonomo</t>
  </si>
  <si>
    <t>Schermature Solari</t>
  </si>
  <si>
    <t>Caldaie a Biomassa</t>
  </si>
  <si>
    <t>BACS - Sistemi multimediali controllo impianti</t>
  </si>
  <si>
    <t>Microgeneratori</t>
  </si>
  <si>
    <t>Impianto Fotovoltaico</t>
  </si>
  <si>
    <t>x Kw</t>
  </si>
  <si>
    <t>Impianto Fotovoltaico ristrutturazione</t>
  </si>
  <si>
    <t>Accumulo Elettrico</t>
  </si>
  <si>
    <t>Colonnina ricarica veicoli elettrici</t>
  </si>
  <si>
    <t>N.</t>
  </si>
  <si>
    <t>Nome</t>
  </si>
  <si>
    <t>Cognome</t>
  </si>
  <si>
    <t>Codice fiscale</t>
  </si>
  <si>
    <t>Millesimi</t>
  </si>
  <si>
    <t>Telefono</t>
  </si>
  <si>
    <t>Email</t>
  </si>
  <si>
    <t>Foglio</t>
  </si>
  <si>
    <t>Particella</t>
  </si>
  <si>
    <t>Subalterno</t>
  </si>
  <si>
    <t>Categoria catastale</t>
  </si>
  <si>
    <t>Superficie catastale</t>
  </si>
  <si>
    <t>Fabio</t>
  </si>
  <si>
    <t>Serembe</t>
  </si>
  <si>
    <t>SRMFBA90R12A465L</t>
  </si>
  <si>
    <t>fabio.serembe@gmail.com</t>
  </si>
  <si>
    <t>Mario</t>
  </si>
  <si>
    <t>Rossi</t>
  </si>
  <si>
    <t>MARRRS87F21A465G</t>
  </si>
  <si>
    <t>mario.rossi@example.test</t>
  </si>
</sst>
</file>

<file path=xl/styles.xml><?xml version="1.0" encoding="utf-8"?>
<styleSheet xmlns="http://schemas.openxmlformats.org/spreadsheetml/2006/main" xml:space="preserve">
  <numFmts count="2">
    <numFmt numFmtId="164" formatCode="#,##0.00_-&quot;€&quot;"/>
    <numFmt numFmtId="165" formatCode="0.0000%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2"/>
      <color rgb="FF000000"/>
      <name val="Calibri"/>
    </font>
    <font>
      <b val="1"/>
      <i val="0"/>
      <strike val="0"/>
      <u val="single"/>
      <sz val="11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0BBB9"/>
        <bgColor rgb="FFE0BBB9"/>
      </patternFill>
    </fill>
    <fill>
      <patternFill patternType="solid">
        <fgColor rgb="FFFFFEA6"/>
        <bgColor rgb="FFFFFEA6"/>
      </patternFill>
    </fill>
    <fill>
      <patternFill patternType="solid">
        <fgColor rgb="FFE0EAF5"/>
        <bgColor rgb="FFE0EAF5"/>
      </patternFill>
    </fill>
    <fill>
      <patternFill patternType="solid">
        <fgColor rgb="FFB0FBA3"/>
        <bgColor rgb="FFB0FBA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2" borderId="1" applyFont="0" applyNumberFormat="0" applyFill="1" applyBorder="1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0" numFmtId="10" fillId="0" borderId="1" applyFont="0" applyNumberFormat="1" applyFill="0" applyBorder="1" applyAlignment="1">
      <alignment horizontal="general" vertical="center" textRotation="0" wrapText="false" shrinkToFit="false"/>
    </xf>
    <xf xfId="0" fontId="0" numFmtId="164" fillId="3" borderId="1" applyFont="0" applyNumberFormat="1" applyFill="1" applyBorder="1" applyAlignment="1">
      <alignment horizontal="center" vertical="center" textRotation="0" wrapText="true" shrinkToFit="false"/>
    </xf>
    <xf xfId="0" fontId="1" numFmtId="164" fillId="3" borderId="1" applyFont="1" applyNumberFormat="1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general" vertical="center" textRotation="0" wrapText="false" shrinkToFit="false"/>
    </xf>
    <xf xfId="0" fontId="0" numFmtId="164" fillId="0" borderId="0" applyFont="0" applyNumberFormat="1" applyFill="0" applyBorder="0" applyAlignment="1">
      <alignment horizontal="general" vertical="center" textRotation="0" wrapText="false" shrinkToFit="false"/>
    </xf>
    <xf xfId="0" fontId="2" numFmtId="164" fillId="0" borderId="1" applyFont="1" applyNumberFormat="1" applyFill="0" applyBorder="1" applyAlignment="1">
      <alignment horizontal="general" vertical="center" textRotation="0" wrapText="false" shrinkToFit="false"/>
    </xf>
    <xf xfId="0" fontId="1" numFmtId="164" fillId="0" borderId="1" applyFont="1" applyNumberFormat="1" applyFill="0" applyBorder="1" applyAlignment="1">
      <alignment horizontal="general" vertical="center" textRotation="0" wrapText="false" shrinkToFit="false"/>
    </xf>
    <xf xfId="0" fontId="0" numFmtId="10" fillId="0" borderId="0" applyFont="0" applyNumberFormat="1" applyFill="0" applyBorder="0" applyAlignment="1">
      <alignment horizontal="general" vertical="center" textRotation="0" wrapText="false" shrinkToFit="false"/>
    </xf>
    <xf xfId="0" fontId="2" numFmtId="10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164" fillId="5" borderId="1" applyFont="0" applyNumberFormat="1" applyFill="1" applyBorder="1" applyAlignment="1">
      <alignment horizontal="general" vertical="center" textRotation="0" wrapText="false" shrinkToFit="false"/>
    </xf>
    <xf xfId="0" fontId="1" numFmtId="164" fillId="5" borderId="1" applyFont="1" applyNumberFormat="1" applyFill="1" applyBorder="1" applyAlignment="1">
      <alignment horizontal="general" vertical="center" textRotation="0" wrapText="false" shrinkToFit="false"/>
    </xf>
    <xf xfId="0" fontId="2" numFmtId="164" fillId="5" borderId="1" applyFont="1" applyNumberFormat="1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general" vertical="center" textRotation="0" wrapText="false" shrinkToFit="false"/>
    </xf>
    <xf xfId="0" fontId="3" numFmtId="0" fillId="0" borderId="1" applyFont="1" applyNumberFormat="0" applyFill="0" applyBorder="1" applyAlignment="1">
      <alignment horizontal="general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165" fillId="0" borderId="1" applyFont="1" applyNumberFormat="1" applyFill="0" applyBorder="1" applyAlignment="1">
      <alignment horizontal="center" vertical="center" textRotation="0" wrapText="true" shrinkToFit="false"/>
    </xf>
    <xf xfId="0" fontId="4" numFmtId="165" fillId="3" borderId="1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1">
    <dxf>
      <font>
        <b val="1"/>
        <color rgb="FFFF0000"/>
      </font>
      <alignment/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2"/>
  <sheetViews>
    <sheetView tabSelected="0" workbookViewId="0" showGridLines="true" showRowColHeaders="1">
      <selection activeCell="Q11" sqref="Q11:Q52"/>
    </sheetView>
  </sheetViews>
  <sheetFormatPr defaultRowHeight="14.4" outlineLevelRow="0" outlineLevelCol="0"/>
  <cols>
    <col min="1" max="1" width="12.854" customWidth="true" style="3"/>
    <col min="2" max="2" width="25.708" customWidth="true" style="3"/>
    <col min="3" max="3" width="12.854" customWidth="true" style="3"/>
    <col min="4" max="4" width="12.854" customWidth="true" style="3"/>
    <col min="5" max="5" width="12.854" customWidth="true" style="3"/>
    <col min="6" max="6" width="12.854" customWidth="true" style="3"/>
    <col min="7" max="7" width="12.854" customWidth="true" style="3"/>
    <col min="8" max="8" width="12.854" customWidth="true" style="3"/>
    <col min="9" max="9" width="12.854" customWidth="true" style="3"/>
    <col min="10" max="10" width="12.854" customWidth="true" style="3"/>
    <col min="11" max="11" width="12.854" customWidth="true" style="3"/>
    <col min="12" max="12" width="12.854" customWidth="true" style="3"/>
    <col min="13" max="13" width="12.854" customWidth="true" style="3"/>
    <col min="14" max="14" width="12.854" customWidth="true" style="3"/>
    <col min="15" max="15" width="12.854" customWidth="true" style="3"/>
    <col min="16" max="16" width="12.854" customWidth="true" style="3"/>
    <col min="17" max="17" width="12.854" customWidth="true" style="3"/>
    <col min="18" max="18" width="12.854" customWidth="true" style="3"/>
    <col min="19" max="19" width="12.854" customWidth="true" style="3"/>
    <col min="20" max="20" width="12.854" customWidth="true" style="3"/>
    <col min="21" max="21" width="12.854" customWidth="true" style="3"/>
    <col min="22" max="22" width="12.854" customWidth="true" style="3"/>
    <col min="23" max="23" width="12.854" customWidth="true" style="3"/>
    <col min="24" max="24" width="12.854" customWidth="true" style="3"/>
    <col min="25" max="25" width="12.854" customWidth="true" style="3"/>
    <col min="26" max="26" width="12.854" customWidth="true" style="3"/>
  </cols>
  <sheetData>
    <row r="1" spans="1:26" customHeight="1" ht="15">
      <c r="A1" s="23" t="s">
        <v>0</v>
      </c>
    </row>
    <row r="2" spans="1:26" customHeight="1" ht="15"/>
    <row r="3" spans="1:26" customHeight="1" ht="15">
      <c r="A3" s="3" t="s">
        <v>1</v>
      </c>
    </row>
    <row r="4" spans="1:26" customHeight="1" ht="15">
      <c r="A4" s="24" t="s">
        <v>2</v>
      </c>
      <c r="B4" s="7"/>
      <c r="C4" s="25" t="s">
        <v>3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</row>
    <row r="5" spans="1:26" customHeight="1" ht="15"/>
    <row r="6" spans="1:26" customHeight="1" ht="15">
      <c r="A6" s="3" t="s">
        <v>4</v>
      </c>
      <c r="C6" s="28" t="s">
        <v>5</v>
      </c>
      <c r="D6" s="29" t="s">
        <v>6</v>
      </c>
      <c r="E6" s="29">
        <v>1</v>
      </c>
    </row>
    <row r="7" spans="1:26" customHeight="1" ht="15">
      <c r="D7" s="29" t="s">
        <v>7</v>
      </c>
      <c r="E7" s="29">
        <v>2</v>
      </c>
    </row>
    <row r="8" spans="1:26" customHeight="1" ht="15">
      <c r="D8" s="29" t="s">
        <v>8</v>
      </c>
      <c r="E8" s="29">
        <v>0</v>
      </c>
      <c r="G8" s="30" t="s">
        <v>9</v>
      </c>
      <c r="H8" s="33" t="s">
        <v>10</v>
      </c>
      <c r="I8" s="33"/>
      <c r="J8" s="33"/>
      <c r="K8" s="33"/>
      <c r="L8" s="33"/>
      <c r="M8" s="33"/>
      <c r="N8" s="33"/>
      <c r="O8" s="33"/>
      <c r="P8" s="33"/>
    </row>
    <row r="9" spans="1:26" customHeight="1" ht="15">
      <c r="G9" s="30"/>
      <c r="H9" s="31" t="s">
        <v>11</v>
      </c>
      <c r="I9" s="31" t="s">
        <v>12</v>
      </c>
      <c r="J9" s="31"/>
      <c r="K9" s="31" t="s">
        <v>13</v>
      </c>
      <c r="L9" s="31" t="s">
        <v>14</v>
      </c>
      <c r="M9" s="31"/>
      <c r="N9" s="31" t="s">
        <v>15</v>
      </c>
      <c r="O9" s="31" t="s">
        <v>16</v>
      </c>
      <c r="P9" s="32" t="s">
        <v>17</v>
      </c>
    </row>
    <row r="10" spans="1:26" customHeight="1" ht="15">
      <c r="G10" s="30"/>
      <c r="H10" s="31"/>
      <c r="I10" s="34">
        <v>0.2</v>
      </c>
      <c r="J10" s="34">
        <v>0.027366</v>
      </c>
      <c r="K10" s="35">
        <v>0.035</v>
      </c>
      <c r="L10" s="35">
        <v>0.024</v>
      </c>
      <c r="M10" s="35">
        <v>0.031595</v>
      </c>
      <c r="N10" s="31"/>
      <c r="O10" s="31"/>
      <c r="P10" s="32"/>
    </row>
    <row r="11" spans="1:26" customHeight="1" ht="15">
      <c r="A11" s="4"/>
      <c r="B11" s="4" t="s">
        <v>18</v>
      </c>
      <c r="C11" s="6" t="s">
        <v>19</v>
      </c>
      <c r="D11" s="6"/>
      <c r="E11" s="6"/>
      <c r="F11" s="6"/>
      <c r="G11" s="10">
        <f>IF(E7&lt;9,E7*'Calcolo massimali'!C2,(8*'Calcolo massimali'!C2)+((E7-8)*'Calcolo massimali'!D2))</f>
        <v>80000</v>
      </c>
      <c r="H11" s="13"/>
      <c r="I11" s="13">
        <f>ROUND(H11*$I$10,2)</f>
        <v>0</v>
      </c>
      <c r="J11" s="13">
        <f>ROUND(H11*$J$10,2)</f>
        <v>0</v>
      </c>
      <c r="K11" s="13">
        <f>ROUND(H11*$K$10,2)</f>
        <v>0</v>
      </c>
      <c r="L11" s="13">
        <f>ROUND(H11*$L$10,2)</f>
        <v>0</v>
      </c>
      <c r="M11" s="13">
        <f>ROUND(H11*$M$10,2)</f>
        <v>0</v>
      </c>
      <c r="N11" s="13">
        <f>ROUND(H11*0.1,2)</f>
        <v>0</v>
      </c>
      <c r="O11" s="13">
        <f>ROUND(SUM(I11:M11)*0.22,2)</f>
        <v>0</v>
      </c>
      <c r="P11" s="20">
        <f>SUM(H11:O11)</f>
        <v>0</v>
      </c>
      <c r="Q11" s="3" t="str">
        <f>IF(P11&lt;=G11,"Ok","ATTENZIONE")</f>
        <v>Ok</v>
      </c>
    </row>
    <row r="12" spans="1:26" customHeight="1" ht="15">
      <c r="A12" s="4"/>
      <c r="B12" s="4"/>
      <c r="C12" s="6" t="s">
        <v>20</v>
      </c>
      <c r="D12" s="6"/>
      <c r="E12" s="6"/>
      <c r="F12" s="6"/>
      <c r="G12" s="10">
        <f>IF(E7&lt;9,E7*'Calcolo massimali'!C2,(8*'Calcolo massimali'!C2)+((E7-8)*'Calcolo massimali'!D2))</f>
        <v>80000</v>
      </c>
      <c r="H12" s="13"/>
      <c r="I12" s="13">
        <f>ROUND(H12*$I$10,2)</f>
        <v>0</v>
      </c>
      <c r="J12" s="13">
        <f>ROUND(H12*$J$10,2)</f>
        <v>0</v>
      </c>
      <c r="K12" s="13">
        <f>ROUND(H12*$K$10,2)</f>
        <v>0</v>
      </c>
      <c r="L12" s="13">
        <f>ROUND(H12*$L$10,2)</f>
        <v>0</v>
      </c>
      <c r="M12" s="13">
        <f>ROUND(H12*$M$10,2)</f>
        <v>0</v>
      </c>
      <c r="N12" s="13">
        <f>ROUND(H12*0.1,2)</f>
        <v>0</v>
      </c>
      <c r="O12" s="13">
        <f>ROUND(SUM(I12:M12)*0.22,2)</f>
        <v>0</v>
      </c>
      <c r="P12" s="20">
        <f>SUM(H12:O12)</f>
        <v>0</v>
      </c>
      <c r="Q12" s="3" t="str">
        <f>IF(P12&lt;=G12,"Ok","ATTENZIONE")</f>
        <v>Ok</v>
      </c>
    </row>
    <row r="13" spans="1:26" customHeight="1" ht="15">
      <c r="A13" s="4"/>
      <c r="B13" s="4" t="s">
        <v>21</v>
      </c>
      <c r="C13" s="6" t="s">
        <v>22</v>
      </c>
      <c r="D13" s="6"/>
      <c r="E13" s="6"/>
      <c r="F13" s="6"/>
      <c r="G13" s="10"/>
      <c r="H13" s="13"/>
      <c r="I13" s="13">
        <f>ROUND(H13*$I$10,2)</f>
        <v>0</v>
      </c>
      <c r="J13" s="13">
        <f>ROUND(H13*$J$10,2)</f>
        <v>0</v>
      </c>
      <c r="K13" s="13">
        <f>ROUND(H13*$K$10,2)</f>
        <v>0</v>
      </c>
      <c r="L13" s="13">
        <f>ROUND(H13*$L$10,2)</f>
        <v>0</v>
      </c>
      <c r="M13" s="13">
        <f>ROUND(H13*$M$10,2)</f>
        <v>0</v>
      </c>
      <c r="N13" s="13">
        <f>ROUND(H13*0.1,2)</f>
        <v>0</v>
      </c>
      <c r="O13" s="13">
        <f>ROUND(SUM(I13:M13)*0.22,2)</f>
        <v>0</v>
      </c>
      <c r="P13" s="20">
        <f>SUM(H13:O13)</f>
        <v>0</v>
      </c>
      <c r="Q13" s="3" t="str">
        <f>IF(P13&lt;=G13,"Ok","ATTENZIONE")</f>
        <v>Ok</v>
      </c>
    </row>
    <row r="14" spans="1:26" customHeight="1" ht="15">
      <c r="A14" s="4"/>
      <c r="B14" s="4"/>
      <c r="C14" s="6" t="s">
        <v>23</v>
      </c>
      <c r="D14" s="6"/>
      <c r="E14" s="6"/>
      <c r="F14" s="6"/>
      <c r="G14" s="10"/>
      <c r="H14" s="13"/>
      <c r="I14" s="13">
        <f>ROUND(H14*$I$10,2)</f>
        <v>0</v>
      </c>
      <c r="J14" s="13">
        <f>ROUND(H14*$J$10,2)</f>
        <v>0</v>
      </c>
      <c r="K14" s="13">
        <f>ROUND(H14*$K$10,2)</f>
        <v>0</v>
      </c>
      <c r="L14" s="13">
        <f>ROUND(H14*$L$10,2)</f>
        <v>0</v>
      </c>
      <c r="M14" s="13">
        <f>ROUND(H14*$M$10,2)</f>
        <v>0</v>
      </c>
      <c r="N14" s="13">
        <f>ROUND(H14*0.1,2)</f>
        <v>0</v>
      </c>
      <c r="O14" s="13">
        <f>ROUND(SUM(I14:M14)*0.22,2)</f>
        <v>0</v>
      </c>
      <c r="P14" s="20">
        <f>SUM(H14:O14)</f>
        <v>0</v>
      </c>
      <c r="Q14" s="3" t="str">
        <f>IF(P14&lt;=G14,"Ok","ATTENZIONE")</f>
        <v>Ok</v>
      </c>
    </row>
    <row r="15" spans="1:26" customHeight="1" ht="15">
      <c r="A15" s="4"/>
      <c r="B15" s="4"/>
      <c r="C15" s="6" t="s">
        <v>24</v>
      </c>
      <c r="D15" s="6"/>
      <c r="E15" s="6"/>
      <c r="F15" s="6"/>
      <c r="G15" s="10"/>
      <c r="H15" s="13"/>
      <c r="I15" s="13">
        <f>ROUND(H15*$I$10,2)</f>
        <v>0</v>
      </c>
      <c r="J15" s="13">
        <f>ROUND(H15*$J$10,2)</f>
        <v>0</v>
      </c>
      <c r="K15" s="13">
        <f>ROUND(H15*$K$10,2)</f>
        <v>0</v>
      </c>
      <c r="L15" s="13">
        <f>ROUND(H15*$L$10,2)</f>
        <v>0</v>
      </c>
      <c r="M15" s="13">
        <f>ROUND(H15*$M$10,2)</f>
        <v>0</v>
      </c>
      <c r="N15" s="13">
        <f>ROUND(H15*0.1,2)</f>
        <v>0</v>
      </c>
      <c r="O15" s="13">
        <f>ROUND(SUM(I15:M15)*0.22,2)</f>
        <v>0</v>
      </c>
      <c r="P15" s="20">
        <f>SUM(H15:O15)</f>
        <v>0</v>
      </c>
      <c r="Q15" s="3" t="str">
        <f>IF(P15&lt;=G15,"Ok","ATTENZIONE")</f>
        <v>Ok</v>
      </c>
    </row>
    <row r="16" spans="1:26" customHeight="1" ht="15">
      <c r="A16" s="4"/>
      <c r="B16" s="4"/>
      <c r="C16" s="6" t="s">
        <v>25</v>
      </c>
      <c r="D16" s="6"/>
      <c r="E16" s="6"/>
      <c r="F16" s="6"/>
      <c r="G16" s="10"/>
      <c r="H16" s="13"/>
      <c r="I16" s="13">
        <f>ROUND(H16*$I$10,2)</f>
        <v>0</v>
      </c>
      <c r="J16" s="13">
        <f>ROUND(H16*$J$10,2)</f>
        <v>0</v>
      </c>
      <c r="K16" s="13">
        <f>ROUND(H16*$K$10,2)</f>
        <v>0</v>
      </c>
      <c r="L16" s="13">
        <f>ROUND(H16*$L$10,2)</f>
        <v>0</v>
      </c>
      <c r="M16" s="13">
        <f>ROUND(H16*$M$10,2)</f>
        <v>0</v>
      </c>
      <c r="N16" s="13">
        <f>ROUND(H16*0.1,2)</f>
        <v>0</v>
      </c>
      <c r="O16" s="13">
        <f>ROUND(SUM(I16:M16)*0.22,2)</f>
        <v>0</v>
      </c>
      <c r="P16" s="20">
        <f>SUM(H16:O16)</f>
        <v>0</v>
      </c>
      <c r="Q16" s="3" t="str">
        <f>IF(P16&lt;=G16,"Ok","ATTENZIONE")</f>
        <v>Ok</v>
      </c>
    </row>
    <row r="17" spans="1:26" customHeight="1" ht="15">
      <c r="A17" s="4">
        <v>1</v>
      </c>
      <c r="B17" s="4" t="s">
        <v>26</v>
      </c>
      <c r="C17" s="6" t="s">
        <v>22</v>
      </c>
      <c r="D17" s="6"/>
      <c r="E17" s="6"/>
      <c r="F17" s="6"/>
      <c r="G17" s="10">
        <f>'Calcolo massimali'!$B$12</f>
        <v>54545.45</v>
      </c>
      <c r="H17" s="13"/>
      <c r="I17" s="13">
        <f>ROUND(H17*$I$10,2)</f>
        <v>0</v>
      </c>
      <c r="J17" s="13">
        <f>ROUND(H17*$J$10,2)</f>
        <v>0</v>
      </c>
      <c r="K17" s="13">
        <f>ROUND(H17*$K$10,2)</f>
        <v>0</v>
      </c>
      <c r="L17" s="13">
        <f>ROUND(H17*$L$10,2)</f>
        <v>0</v>
      </c>
      <c r="M17" s="13">
        <f>ROUND(H17*$M$10,2)</f>
        <v>0</v>
      </c>
      <c r="N17" s="13">
        <f>ROUND(H17*0.1,2)</f>
        <v>0</v>
      </c>
      <c r="O17" s="13">
        <f>ROUND(SUM(I17:M17)*0.22,2)</f>
        <v>0</v>
      </c>
      <c r="P17" s="20">
        <f>SUM(H17:O17)</f>
        <v>0</v>
      </c>
      <c r="Q17" s="3" t="str">
        <f>IF(P17&lt;=G17,"Ok","ATTENZIONE")</f>
        <v>Ok</v>
      </c>
    </row>
    <row r="18" spans="1:26" customHeight="1" ht="15">
      <c r="A18" s="4"/>
      <c r="B18" s="4"/>
      <c r="C18" s="6" t="s">
        <v>27</v>
      </c>
      <c r="D18" s="6"/>
      <c r="E18" s="6"/>
      <c r="F18" s="6"/>
      <c r="G18" s="10">
        <f>'Calcolo massimali'!$B$12</f>
        <v>54545.45</v>
      </c>
      <c r="H18" s="13"/>
      <c r="I18" s="13">
        <f>ROUND(H18*$I$10,2)</f>
        <v>0</v>
      </c>
      <c r="J18" s="13">
        <f>ROUND(H18*$J$10,2)</f>
        <v>0</v>
      </c>
      <c r="K18" s="13">
        <f>ROUND(H18*$K$10,2)</f>
        <v>0</v>
      </c>
      <c r="L18" s="13">
        <f>ROUND(H18*$L$10,2)</f>
        <v>0</v>
      </c>
      <c r="M18" s="13">
        <f>ROUND(H18*$M$10,2)</f>
        <v>0</v>
      </c>
      <c r="N18" s="13">
        <f>ROUND(H18*0.1,2)</f>
        <v>0</v>
      </c>
      <c r="O18" s="13">
        <f>ROUND(SUM(I18:M18)*0.22,2)</f>
        <v>0</v>
      </c>
      <c r="P18" s="20">
        <f>SUM(H18:O18)</f>
        <v>0</v>
      </c>
      <c r="Q18" s="3" t="str">
        <f>IF(P18&lt;=G18,"Ok","ATTENZIONE")</f>
        <v>Ok</v>
      </c>
    </row>
    <row r="19" spans="1:26" customHeight="1" ht="15">
      <c r="A19" s="4"/>
      <c r="B19" s="4"/>
      <c r="C19" s="6" t="s">
        <v>28</v>
      </c>
      <c r="D19" s="6"/>
      <c r="E19" s="6"/>
      <c r="F19" s="6"/>
      <c r="G19" s="10">
        <f>'Calcolo massimali'!$B$14</f>
        <v>13636.36</v>
      </c>
      <c r="H19" s="13"/>
      <c r="I19" s="13">
        <f>ROUND(H19*$I$10,2)</f>
        <v>0</v>
      </c>
      <c r="J19" s="13">
        <f>ROUND(H19*$J$10,2)</f>
        <v>0</v>
      </c>
      <c r="K19" s="13">
        <f>ROUND(H19*$K$10,2)</f>
        <v>0</v>
      </c>
      <c r="L19" s="13">
        <f>ROUND(H19*$L$10,2)</f>
        <v>0</v>
      </c>
      <c r="M19" s="13">
        <f>ROUND(H19*$M$10,2)</f>
        <v>0</v>
      </c>
      <c r="N19" s="13">
        <f>ROUND(H19*0.1,2)</f>
        <v>0</v>
      </c>
      <c r="O19" s="13">
        <f>ROUND(SUM(I19:M19)*0.22,2)</f>
        <v>0</v>
      </c>
      <c r="P19" s="20">
        <f>SUM(H19:O19)</f>
        <v>0</v>
      </c>
      <c r="Q19" s="3" t="str">
        <f>IF(P19&lt;=G19,"Ok","ATTENZIONE")</f>
        <v>Ok</v>
      </c>
    </row>
    <row r="20" spans="1:26" customHeight="1" ht="15">
      <c r="A20" s="4">
        <v>2</v>
      </c>
      <c r="B20" s="4" t="s">
        <v>29</v>
      </c>
      <c r="C20" s="6" t="s">
        <v>22</v>
      </c>
      <c r="D20" s="6"/>
      <c r="E20" s="6"/>
      <c r="F20" s="6"/>
      <c r="G20" s="10">
        <f>'Calcolo massimali'!$B$12</f>
        <v>54545.45</v>
      </c>
      <c r="H20" s="13"/>
      <c r="I20" s="13">
        <f>ROUND(H20*$I$10,2)</f>
        <v>0</v>
      </c>
      <c r="J20" s="13">
        <f>ROUND(H20*$J$10,2)</f>
        <v>0</v>
      </c>
      <c r="K20" s="13">
        <f>ROUND(H20*$K$10,2)</f>
        <v>0</v>
      </c>
      <c r="L20" s="13">
        <f>ROUND(H20*$L$10,2)</f>
        <v>0</v>
      </c>
      <c r="M20" s="13">
        <f>ROUND(H20*$M$10,2)</f>
        <v>0</v>
      </c>
      <c r="N20" s="13">
        <f>ROUND(H20*0.1,2)</f>
        <v>0</v>
      </c>
      <c r="O20" s="13">
        <f>ROUND(SUM(I20:M20)*0.22,2)</f>
        <v>0</v>
      </c>
      <c r="P20" s="20">
        <f>SUM(H20:O20)</f>
        <v>0</v>
      </c>
      <c r="Q20" s="3" t="str">
        <f>IF(P20&lt;=G20,"Ok","ATTENZIONE")</f>
        <v>Ok</v>
      </c>
    </row>
    <row r="21" spans="1:26" customHeight="1" ht="15">
      <c r="A21" s="4"/>
      <c r="B21" s="4"/>
      <c r="C21" s="6" t="s">
        <v>27</v>
      </c>
      <c r="D21" s="6"/>
      <c r="E21" s="6"/>
      <c r="F21" s="6"/>
      <c r="G21" s="10">
        <f>'Calcolo massimali'!$B$12</f>
        <v>54545.45</v>
      </c>
      <c r="H21" s="13"/>
      <c r="I21" s="13">
        <f>ROUND(H21*$I$10,2)</f>
        <v>0</v>
      </c>
      <c r="J21" s="13">
        <f>ROUND(H21*$J$10,2)</f>
        <v>0</v>
      </c>
      <c r="K21" s="13">
        <f>ROUND(H21*$K$10,2)</f>
        <v>0</v>
      </c>
      <c r="L21" s="13">
        <f>ROUND(H21*$L$10,2)</f>
        <v>0</v>
      </c>
      <c r="M21" s="13">
        <f>ROUND(H21*$M$10,2)</f>
        <v>0</v>
      </c>
      <c r="N21" s="13">
        <f>ROUND(H21*0.1,2)</f>
        <v>0</v>
      </c>
      <c r="O21" s="13">
        <f>ROUND(SUM(I21:M21)*0.22,2)</f>
        <v>0</v>
      </c>
      <c r="P21" s="20">
        <f>SUM(H21:O21)</f>
        <v>0</v>
      </c>
      <c r="Q21" s="3" t="str">
        <f>IF(P21&lt;=G21,"Ok","ATTENZIONE")</f>
        <v>Ok</v>
      </c>
    </row>
    <row r="22" spans="1:26" customHeight="1" ht="15">
      <c r="A22" s="4"/>
      <c r="B22" s="4"/>
      <c r="C22" s="6" t="s">
        <v>28</v>
      </c>
      <c r="D22" s="6"/>
      <c r="E22" s="6"/>
      <c r="F22" s="6"/>
      <c r="G22" s="10">
        <f>'Calcolo massimali'!$B$14</f>
        <v>13636.36</v>
      </c>
      <c r="H22" s="13"/>
      <c r="I22" s="13">
        <f>ROUND(H22*$I$10,2)</f>
        <v>0</v>
      </c>
      <c r="J22" s="13">
        <f>ROUND(H22*$J$10,2)</f>
        <v>0</v>
      </c>
      <c r="K22" s="13">
        <f>ROUND(H22*$K$10,2)</f>
        <v>0</v>
      </c>
      <c r="L22" s="13">
        <f>ROUND(H22*$L$10,2)</f>
        <v>0</v>
      </c>
      <c r="M22" s="13">
        <f>ROUND(H22*$M$10,2)</f>
        <v>0</v>
      </c>
      <c r="N22" s="13">
        <f>ROUND(H22*0.1,2)</f>
        <v>0</v>
      </c>
      <c r="O22" s="13">
        <f>ROUND(SUM(I22:M22)*0.22,2)</f>
        <v>0</v>
      </c>
      <c r="P22" s="20">
        <f>SUM(H22:O22)</f>
        <v>0</v>
      </c>
      <c r="Q22" s="3" t="str">
        <f>IF(P22&lt;=G22,"Ok","ATTENZIONE")</f>
        <v>Ok</v>
      </c>
    </row>
    <row r="23" spans="1:26" customHeight="1" ht="15">
      <c r="E23" s="7" t="s">
        <v>30</v>
      </c>
      <c r="F23" s="7"/>
      <c r="G23" s="11"/>
      <c r="H23" s="16">
        <f>SUM(H11:H22)</f>
        <v>0</v>
      </c>
      <c r="I23" s="16">
        <f>SUM(I11:I22)</f>
        <v>0</v>
      </c>
      <c r="J23" s="16">
        <f>SUM(J11:J22)</f>
        <v>0</v>
      </c>
      <c r="K23" s="16">
        <f>SUM(K11:K22)</f>
        <v>0</v>
      </c>
      <c r="L23" s="16">
        <f>SUM(L11:L22)</f>
        <v>0</v>
      </c>
      <c r="M23" s="16">
        <f>SUM(M11:M22)</f>
        <v>0</v>
      </c>
      <c r="N23" s="16">
        <f>SUM(N11:N22)</f>
        <v>0</v>
      </c>
      <c r="O23" s="16">
        <f>SUM(O11:O22)</f>
        <v>0</v>
      </c>
      <c r="P23" s="21">
        <f>SUM(P11:P22)</f>
        <v>0</v>
      </c>
    </row>
    <row r="24" spans="1:26" customHeight="1" ht="15"/>
    <row r="25" spans="1:26" customHeight="1" ht="15">
      <c r="N25" s="19" t="s">
        <v>31</v>
      </c>
      <c r="O25" s="6"/>
      <c r="P25" s="22">
        <f>P23*1.1</f>
        <v>0</v>
      </c>
    </row>
    <row r="26" spans="1:26" customHeight="1" ht="15"/>
    <row r="27" spans="1:26" customHeight="1" ht="15">
      <c r="N27" s="19" t="s">
        <v>32</v>
      </c>
      <c r="O27" s="6"/>
      <c r="P27" s="22">
        <f>P23*1.01</f>
        <v>0</v>
      </c>
    </row>
    <row r="28" spans="1:26" customHeight="1" ht="15"/>
    <row r="29" spans="1:26" customHeight="1" ht="15">
      <c r="N29" s="19" t="s">
        <v>33</v>
      </c>
      <c r="O29" s="6"/>
      <c r="P29" s="22">
        <f>P27-P23</f>
        <v>0</v>
      </c>
    </row>
    <row r="30" spans="1:26" customHeight="1" ht="15"/>
    <row r="31" spans="1:26" customHeight="1" ht="15">
      <c r="G31" s="12" t="s">
        <v>34</v>
      </c>
      <c r="H31" s="12" t="s">
        <v>35</v>
      </c>
      <c r="I31" s="12" t="s">
        <v>36</v>
      </c>
      <c r="J31" s="12" t="s">
        <v>37</v>
      </c>
    </row>
    <row r="32" spans="1:26" customHeight="1" ht="15">
      <c r="A32" s="5" t="s">
        <v>38</v>
      </c>
      <c r="B32" s="5" t="s">
        <v>39</v>
      </c>
      <c r="C32" s="6" t="s">
        <v>22</v>
      </c>
      <c r="D32" s="6"/>
      <c r="E32" s="6"/>
      <c r="F32" s="6"/>
      <c r="G32" s="13"/>
      <c r="H32" s="13">
        <f>SUMIF($C$11:$C$22,$C32,$H$11:$H$22)</f>
        <v>0</v>
      </c>
      <c r="I32" s="13">
        <f>H32-G32</f>
        <v>0</v>
      </c>
      <c r="J32" s="9" t="e">
        <f>I32/H32</f>
        <v>#DIV/0!</v>
      </c>
    </row>
    <row r="33" spans="1:26" customHeight="1" ht="15">
      <c r="A33" s="5"/>
      <c r="B33" s="5"/>
      <c r="C33" s="6" t="s">
        <v>27</v>
      </c>
      <c r="D33" s="6"/>
      <c r="E33" s="6"/>
      <c r="F33" s="6"/>
      <c r="G33" s="13"/>
      <c r="H33" s="13">
        <f>SUMIF($C$11:$C$22,$C33,$H$11:$H$22)</f>
        <v>0</v>
      </c>
      <c r="I33" s="13">
        <f>H33-G33</f>
        <v>0</v>
      </c>
      <c r="J33" s="9" t="e">
        <f>I33/H33</f>
        <v>#DIV/0!</v>
      </c>
    </row>
    <row r="34" spans="1:26" customHeight="1" ht="15">
      <c r="A34" s="5"/>
      <c r="B34" s="5"/>
      <c r="C34" s="6" t="s">
        <v>28</v>
      </c>
      <c r="D34" s="6"/>
      <c r="E34" s="6"/>
      <c r="F34" s="6"/>
      <c r="G34" s="13"/>
      <c r="H34" s="13">
        <f>SUMIF($C$11:$C$22,$C34,$H$11:$H$22)</f>
        <v>0</v>
      </c>
      <c r="I34" s="13">
        <f>H34-G34-G35</f>
        <v>0</v>
      </c>
      <c r="J34" s="9" t="e">
        <f>I34/H34</f>
        <v>#DIV/0!</v>
      </c>
    </row>
    <row r="35" spans="1:26" customHeight="1" ht="15">
      <c r="A35" s="5"/>
      <c r="B35" s="5"/>
      <c r="C35" s="6" t="s">
        <v>40</v>
      </c>
      <c r="D35" s="6"/>
      <c r="E35" s="6"/>
      <c r="F35" s="6"/>
      <c r="G35" s="13"/>
      <c r="H35" s="13"/>
      <c r="I35" s="13"/>
      <c r="J35" s="9"/>
    </row>
    <row r="36" spans="1:26" customHeight="1" ht="15">
      <c r="A36" s="5"/>
      <c r="B36" s="5"/>
      <c r="C36" s="6" t="s">
        <v>23</v>
      </c>
      <c r="D36" s="6"/>
      <c r="E36" s="6"/>
      <c r="F36" s="6"/>
      <c r="G36" s="13"/>
      <c r="H36" s="13">
        <f>SUMIF($C$11:$C$22,$C36,$H$11:$H$22)</f>
        <v>0</v>
      </c>
      <c r="I36" s="13">
        <f>H36+H37+H38-G36</f>
        <v>0</v>
      </c>
      <c r="J36" s="9" t="e">
        <f>I36/H36</f>
        <v>#DIV/0!</v>
      </c>
    </row>
    <row r="37" spans="1:26" customHeight="1" ht="15">
      <c r="A37" s="5"/>
      <c r="B37" s="5"/>
      <c r="C37" s="6" t="s">
        <v>41</v>
      </c>
      <c r="D37" s="6"/>
      <c r="E37" s="6"/>
      <c r="F37" s="6"/>
      <c r="G37" s="13"/>
      <c r="H37" s="13">
        <f>SUMIF($C$11:$C$22,$C37,$H$11:$H$22)</f>
        <v>0</v>
      </c>
      <c r="I37" s="13"/>
      <c r="J37" s="9"/>
    </row>
    <row r="38" spans="1:26" customHeight="1" ht="15">
      <c r="A38" s="5"/>
      <c r="B38" s="5"/>
      <c r="C38" s="6" t="s">
        <v>24</v>
      </c>
      <c r="D38" s="6"/>
      <c r="E38" s="6"/>
      <c r="F38" s="6"/>
      <c r="G38" s="13"/>
      <c r="H38" s="13">
        <f>SUMIF($C$11:$C$22,$C38,$H$11:$H$22)</f>
        <v>0</v>
      </c>
      <c r="I38" s="13"/>
      <c r="J38" s="9"/>
    </row>
    <row r="39" spans="1:26" customHeight="1" ht="15">
      <c r="A39" s="5"/>
      <c r="B39" s="5"/>
      <c r="C39" s="6" t="s">
        <v>19</v>
      </c>
      <c r="D39" s="6"/>
      <c r="E39" s="6"/>
      <c r="F39" s="6"/>
      <c r="G39" s="13"/>
      <c r="H39" s="13">
        <f>SUMIF($C$11:$C$22,$C39,$H$11:$H$22)</f>
        <v>0</v>
      </c>
      <c r="I39" s="13">
        <f>H39-G39-G40</f>
        <v>0</v>
      </c>
      <c r="J39" s="9" t="e">
        <f>I39/H39</f>
        <v>#DIV/0!</v>
      </c>
    </row>
    <row r="40" spans="1:26" customHeight="1" ht="15">
      <c r="A40" s="5"/>
      <c r="B40" s="5"/>
      <c r="C40" s="6" t="s">
        <v>42</v>
      </c>
      <c r="D40" s="6"/>
      <c r="E40" s="6"/>
      <c r="F40" s="6"/>
      <c r="G40" s="13"/>
      <c r="H40" s="13"/>
      <c r="I40" s="13"/>
      <c r="J40" s="9"/>
    </row>
    <row r="41" spans="1:26" customHeight="1" ht="15">
      <c r="A41" s="5"/>
      <c r="B41" s="5"/>
      <c r="C41" s="6" t="s">
        <v>43</v>
      </c>
      <c r="D41" s="6"/>
      <c r="E41" s="6"/>
      <c r="F41" s="6"/>
      <c r="G41" s="13"/>
      <c r="H41" s="13">
        <f>SUMIF($C$11:$C$22,$C41,$H$11:$H$22)</f>
        <v>0</v>
      </c>
      <c r="I41" s="13">
        <f>H41+H42-G41</f>
        <v>0</v>
      </c>
      <c r="J41" s="9" t="e">
        <f>I41/H41</f>
        <v>#DIV/0!</v>
      </c>
    </row>
    <row r="42" spans="1:26" customHeight="1" ht="15">
      <c r="A42" s="5"/>
      <c r="B42" s="5"/>
      <c r="C42" s="6" t="s">
        <v>44</v>
      </c>
      <c r="D42" s="6"/>
      <c r="E42" s="6"/>
      <c r="F42" s="6"/>
      <c r="G42" s="13"/>
      <c r="H42" s="13">
        <f>SUMIF($C$11:$C$22,$C42,$H$11:$H$22)</f>
        <v>0</v>
      </c>
      <c r="I42" s="13"/>
      <c r="J42" s="9"/>
    </row>
    <row r="43" spans="1:26" customHeight="1" ht="15">
      <c r="A43" s="5"/>
      <c r="B43" s="5"/>
      <c r="C43" s="6" t="s">
        <v>45</v>
      </c>
      <c r="D43" s="6"/>
      <c r="E43" s="6"/>
      <c r="F43" s="6"/>
      <c r="G43" s="13">
        <f>H23*10%</f>
        <v>0</v>
      </c>
      <c r="H43" s="13">
        <f>I23</f>
        <v>0</v>
      </c>
      <c r="I43" s="13">
        <f>H43-G43</f>
        <v>0</v>
      </c>
      <c r="J43" s="9" t="e">
        <f>I43/H43</f>
        <v>#DIV/0!</v>
      </c>
    </row>
    <row r="44" spans="1:26" customHeight="1" ht="15">
      <c r="A44" s="5"/>
      <c r="B44" s="5"/>
      <c r="C44" s="6" t="s">
        <v>46</v>
      </c>
      <c r="D44" s="6"/>
      <c r="E44" s="6"/>
      <c r="F44" s="6"/>
      <c r="G44" s="13">
        <f>H44</f>
        <v>0</v>
      </c>
      <c r="H44" s="13">
        <f>L23</f>
        <v>0</v>
      </c>
      <c r="I44" s="13">
        <f>H44-G44</f>
        <v>0</v>
      </c>
      <c r="J44" s="9" t="e">
        <f>I44/H44</f>
        <v>#DIV/0!</v>
      </c>
    </row>
    <row r="45" spans="1:26" customHeight="1" ht="15">
      <c r="A45" s="5"/>
      <c r="B45" s="5"/>
      <c r="C45" s="6" t="s">
        <v>47</v>
      </c>
      <c r="D45" s="6"/>
      <c r="E45" s="6"/>
      <c r="F45" s="6"/>
      <c r="G45" s="13">
        <f>H45</f>
        <v>0</v>
      </c>
      <c r="H45" s="13">
        <f>M23</f>
        <v>0</v>
      </c>
      <c r="I45" s="13">
        <f>H45-G45</f>
        <v>0</v>
      </c>
      <c r="J45" s="9" t="e">
        <f>I45/H45</f>
        <v>#DIV/0!</v>
      </c>
    </row>
    <row r="46" spans="1:26" customHeight="1" ht="15">
      <c r="A46" s="5"/>
      <c r="B46" s="5"/>
      <c r="C46" s="6" t="s">
        <v>48</v>
      </c>
      <c r="D46" s="6"/>
      <c r="E46" s="6"/>
      <c r="F46" s="9">
        <v>0.02</v>
      </c>
      <c r="G46" s="13">
        <f>SUM(H23:M23)*F46</f>
        <v>0</v>
      </c>
      <c r="H46" s="13"/>
      <c r="I46" s="13">
        <f>H46-G46</f>
        <v>0</v>
      </c>
      <c r="J46" s="9"/>
    </row>
    <row r="47" spans="1:26" customHeight="1" ht="15">
      <c r="A47" s="5"/>
      <c r="B47" s="5"/>
      <c r="C47" s="6" t="s">
        <v>49</v>
      </c>
      <c r="D47" s="6"/>
      <c r="E47" s="6"/>
      <c r="F47" s="9">
        <v>0.035</v>
      </c>
      <c r="G47" s="13">
        <f>P23*F47</f>
        <v>0</v>
      </c>
      <c r="H47" s="13"/>
      <c r="I47" s="13">
        <f>H47-G47</f>
        <v>0</v>
      </c>
      <c r="J47" s="9"/>
    </row>
    <row r="48" spans="1:26" customHeight="1" ht="15">
      <c r="A48" s="5"/>
      <c r="B48" s="5"/>
      <c r="C48" s="6" t="s">
        <v>50</v>
      </c>
      <c r="D48" s="6"/>
      <c r="E48" s="6"/>
      <c r="F48" s="6"/>
      <c r="G48" s="13">
        <f>J23</f>
        <v>0</v>
      </c>
      <c r="H48" s="13"/>
      <c r="I48" s="13">
        <f>H48-G48</f>
        <v>0</v>
      </c>
      <c r="J48" s="9"/>
    </row>
    <row r="49" spans="1:26" customHeight="1" ht="15">
      <c r="A49" s="5"/>
      <c r="B49" s="5"/>
      <c r="C49" s="6" t="s">
        <v>51</v>
      </c>
      <c r="D49" s="6"/>
      <c r="E49" s="6"/>
      <c r="F49" s="6"/>
      <c r="G49" s="13"/>
      <c r="H49" s="13"/>
      <c r="I49" s="13">
        <f>H49-G49</f>
        <v>0</v>
      </c>
      <c r="J49" s="9"/>
    </row>
    <row r="50" spans="1:26" customHeight="1" ht="15">
      <c r="A50" s="5"/>
      <c r="B50" s="5"/>
      <c r="C50" s="6" t="s">
        <v>52</v>
      </c>
      <c r="D50" s="6"/>
      <c r="E50" s="6"/>
      <c r="F50" s="6"/>
      <c r="G50" s="13"/>
      <c r="H50" s="13"/>
      <c r="I50" s="13">
        <f>H50-G50</f>
        <v>0</v>
      </c>
      <c r="J50" s="9"/>
    </row>
    <row r="51" spans="1:26" customHeight="1" ht="15">
      <c r="G51" s="14"/>
      <c r="H51" s="14"/>
      <c r="I51" s="14"/>
      <c r="J51" s="17"/>
    </row>
    <row r="52" spans="1:26" customHeight="1" ht="15">
      <c r="E52" s="8" t="s">
        <v>53</v>
      </c>
      <c r="F52" s="8"/>
      <c r="G52" s="15">
        <f>SUM(G32:G50)</f>
        <v>0</v>
      </c>
      <c r="H52" s="15">
        <f>SUM(H32:H50)</f>
        <v>0</v>
      </c>
      <c r="I52" s="15">
        <f>SUM(I32:I50)</f>
        <v>0</v>
      </c>
      <c r="J52" s="18" t="e">
        <f>SUM(I52/H52)</f>
        <v>#DIV/0!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B4"/>
    <mergeCell ref="C4:P4"/>
    <mergeCell ref="A6:B6"/>
    <mergeCell ref="G8:G10"/>
    <mergeCell ref="H8:P8"/>
    <mergeCell ref="H9:H10"/>
    <mergeCell ref="I9:J9"/>
    <mergeCell ref="L9:M9"/>
    <mergeCell ref="N9:N10"/>
    <mergeCell ref="O9:O10"/>
    <mergeCell ref="P9:P10"/>
    <mergeCell ref="A11:A12"/>
    <mergeCell ref="B11:B12"/>
    <mergeCell ref="C11:E11"/>
    <mergeCell ref="C12:E12"/>
    <mergeCell ref="A13:A16"/>
    <mergeCell ref="B13:B16"/>
    <mergeCell ref="C13:E13"/>
    <mergeCell ref="C14:E14"/>
    <mergeCell ref="C15:E15"/>
    <mergeCell ref="C16:E16"/>
    <mergeCell ref="A17:A19"/>
    <mergeCell ref="B17:B19"/>
    <mergeCell ref="C17:E17"/>
    <mergeCell ref="C18:E18"/>
    <mergeCell ref="C19:E19"/>
    <mergeCell ref="A20:A22"/>
    <mergeCell ref="B20:B22"/>
    <mergeCell ref="C20:E20"/>
    <mergeCell ref="C21:E21"/>
    <mergeCell ref="C22:E22"/>
    <mergeCell ref="E23:F23"/>
    <mergeCell ref="N25:O25"/>
    <mergeCell ref="N27:O27"/>
    <mergeCell ref="N29:O29"/>
    <mergeCell ref="A32:A50"/>
    <mergeCell ref="B32:B50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E52:F52"/>
  </mergeCells>
  <conditionalFormatting sqref="Q11:Q52">
    <cfRule type="cellIs" dxfId="0" priority="1" operator="equal">
      <formula>"ATTENZIONE"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0"/>
  <sheetViews>
    <sheetView tabSelected="1" workbookViewId="0" showGridLines="true" showRowColHeaders="1">
      <selection activeCell="B20" sqref="B20:D20"/>
    </sheetView>
  </sheetViews>
  <sheetFormatPr defaultRowHeight="14.4" outlineLevelRow="0" outlineLevelCol="0"/>
  <cols>
    <col min="1" max="1" width="44.2749" customWidth="true" style="0"/>
    <col min="2" max="2" width="12.854" customWidth="true" style="0"/>
    <col min="3" max="3" width="12.854" customWidth="true" style="0"/>
    <col min="4" max="4" width="12.854" customWidth="true" style="0"/>
  </cols>
  <sheetData>
    <row r="1" spans="1:4" customHeight="1" ht="15">
      <c r="A1" t="s">
        <v>54</v>
      </c>
      <c r="B1" t="s">
        <v>55</v>
      </c>
      <c r="C1" t="s">
        <v>56</v>
      </c>
      <c r="D1" t="s">
        <v>57</v>
      </c>
    </row>
    <row r="2" spans="1:4" customHeight="1" ht="15">
      <c r="A2" t="s">
        <v>58</v>
      </c>
      <c r="B2" s="2">
        <v>50000</v>
      </c>
      <c r="C2" s="2">
        <v>40000</v>
      </c>
      <c r="D2" s="2">
        <v>30000</v>
      </c>
    </row>
    <row r="3" spans="1:4" customHeight="1" ht="15">
      <c r="A3" t="s">
        <v>59</v>
      </c>
      <c r="B3" s="2"/>
      <c r="C3" s="2">
        <v>20000</v>
      </c>
      <c r="D3" s="2">
        <v>15000</v>
      </c>
    </row>
    <row r="4" spans="1:4" customHeight="1" ht="15">
      <c r="A4" t="s">
        <v>60</v>
      </c>
      <c r="B4" s="2">
        <v>30000</v>
      </c>
      <c r="C4" s="2"/>
      <c r="D4" s="2"/>
    </row>
    <row r="5" spans="1:4" customHeight="1" ht="15">
      <c r="A5" t="s">
        <v>61</v>
      </c>
      <c r="B5" s="2">
        <v>96000</v>
      </c>
      <c r="C5" s="2">
        <v>96000</v>
      </c>
      <c r="D5" s="2">
        <v>96000</v>
      </c>
    </row>
    <row r="6" spans="1:4" customHeight="1" ht="15"/>
    <row r="7" spans="1:4" customHeight="1" ht="15"/>
    <row r="8" spans="1:4" customHeight="1" ht="15"/>
    <row r="9" spans="1:4" customHeight="1" ht="15">
      <c r="A9" t="s">
        <v>62</v>
      </c>
    </row>
    <row r="10" spans="1:4" customHeight="1" ht="15">
      <c r="A10" t="s">
        <v>63</v>
      </c>
      <c r="B10" s="2">
        <v>54545.45</v>
      </c>
    </row>
    <row r="11" spans="1:4" customHeight="1" ht="15">
      <c r="A11" t="s">
        <v>64</v>
      </c>
      <c r="B11" s="2">
        <v>27272.73</v>
      </c>
    </row>
    <row r="12" spans="1:4" customHeight="1" ht="15">
      <c r="A12" t="s">
        <v>65</v>
      </c>
      <c r="B12" s="2">
        <v>54545.45</v>
      </c>
    </row>
    <row r="13" spans="1:4" customHeight="1" ht="15">
      <c r="A13" t="s">
        <v>66</v>
      </c>
      <c r="B13" s="2">
        <v>27272.73</v>
      </c>
    </row>
    <row r="14" spans="1:4" customHeight="1" ht="15">
      <c r="A14" t="s">
        <v>67</v>
      </c>
      <c r="B14" s="2">
        <v>13636.36</v>
      </c>
    </row>
    <row r="15" spans="1:4" customHeight="1" ht="15">
      <c r="A15" t="s">
        <v>68</v>
      </c>
      <c r="B15" s="2">
        <v>90909.09</v>
      </c>
    </row>
    <row r="16" spans="1:4" customHeight="1" ht="15">
      <c r="A16" t="s">
        <v>69</v>
      </c>
      <c r="B16" s="2">
        <v>2400</v>
      </c>
      <c r="C16" t="s">
        <v>70</v>
      </c>
    </row>
    <row r="17" spans="1:4" customHeight="1" ht="15">
      <c r="A17" t="s">
        <v>71</v>
      </c>
      <c r="B17" s="2">
        <v>1600</v>
      </c>
      <c r="C17" t="s">
        <v>70</v>
      </c>
    </row>
    <row r="18" spans="1:4" customHeight="1" ht="15">
      <c r="A18" t="s">
        <v>72</v>
      </c>
      <c r="B18" s="2">
        <v>1000</v>
      </c>
      <c r="C18" t="s">
        <v>70</v>
      </c>
    </row>
    <row r="19" spans="1:4" customHeight="1" ht="15">
      <c r="B19" t="s">
        <v>55</v>
      </c>
      <c r="C19" t="s">
        <v>56</v>
      </c>
      <c r="D19" t="s">
        <v>57</v>
      </c>
    </row>
    <row r="20" spans="1:4" customHeight="1" ht="15">
      <c r="A20" t="s">
        <v>73</v>
      </c>
      <c r="B20" s="2">
        <v>2000</v>
      </c>
      <c r="C20" s="2">
        <v>1500</v>
      </c>
      <c r="D20" s="2">
        <v>1200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0" workbookViewId="0" showGridLines="true" showRowColHeaders="1">
      <selection activeCell="A1" sqref="A1:L1"/>
    </sheetView>
  </sheetViews>
  <sheetFormatPr defaultRowHeight="14.4" outlineLevelRow="0" outlineLevelCol="0"/>
  <cols>
    <col min="1" max="1" width="3" bestFit="true" customWidth="true" style="0"/>
    <col min="2" max="2" width="6" bestFit="true" customWidth="true" style="0"/>
    <col min="3" max="3" width="9" bestFit="true" customWidth="true" style="0"/>
    <col min="4" max="4" width="19" bestFit="true" customWidth="true" style="0"/>
    <col min="5" max="5" width="11" bestFit="true" customWidth="true" style="0"/>
    <col min="6" max="6" width="12" bestFit="true" customWidth="true" style="0"/>
    <col min="7" max="7" width="29" bestFit="true" customWidth="true" style="0"/>
    <col min="8" max="8" width="8" bestFit="true" customWidth="true" style="0"/>
    <col min="9" max="9" width="12" bestFit="true" customWidth="true" style="0"/>
    <col min="10" max="10" width="12" bestFit="true" customWidth="true" style="0"/>
    <col min="11" max="11" width="23" bestFit="true" customWidth="true" style="0"/>
    <col min="12" max="12" width="24" bestFit="true" customWidth="true" style="0"/>
  </cols>
  <sheetData>
    <row r="1" spans="1:12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</row>
    <row r="2" spans="1:12">
      <c r="A2">
        <v>1</v>
      </c>
      <c r="B2" t="s">
        <v>86</v>
      </c>
      <c r="C2" t="s">
        <v>87</v>
      </c>
      <c r="D2" t="s">
        <v>88</v>
      </c>
      <c r="E2">
        <v>1.0</v>
      </c>
      <c r="F2">
        <v>3401821790</v>
      </c>
      <c r="G2" t="s">
        <v>89</v>
      </c>
      <c r="H2">
        <v>3</v>
      </c>
      <c r="I2">
        <v>4</v>
      </c>
      <c r="J2">
        <v>5</v>
      </c>
      <c r="K2">
        <v>6</v>
      </c>
      <c r="L2">
        <v>7.0</v>
      </c>
    </row>
    <row r="3" spans="1:12">
      <c r="A3">
        <v>2</v>
      </c>
      <c r="B3" t="s">
        <v>90</v>
      </c>
      <c r="C3" t="s">
        <v>91</v>
      </c>
      <c r="D3" t="s">
        <v>92</v>
      </c>
      <c r="E3">
        <v>5.0</v>
      </c>
      <c r="F3">
        <v>123456789</v>
      </c>
      <c r="G3" t="s">
        <v>93</v>
      </c>
      <c r="H3">
        <v>24</v>
      </c>
      <c r="I3">
        <v>35</v>
      </c>
      <c r="J3">
        <v>46</v>
      </c>
      <c r="K3">
        <v>87</v>
      </c>
      <c r="L3">
        <v>26.0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Scheda 1</vt:lpstr>
      <vt:lpstr>Calcolo massimali</vt:lpstr>
      <vt:lpstr>Lista condomini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2022-05-24T15:32:37+00:00</dcterms:created>
  <dcterms:modified xsi:type="dcterms:W3CDTF">2022-05-24T15:32:37+00:00</dcterms:modified>
  <dc:title>Untitled Spreadsheet</dc:title>
  <dc:description/>
  <dc:subject/>
  <cp:keywords/>
  <cp:category/>
</cp:coreProperties>
</file>